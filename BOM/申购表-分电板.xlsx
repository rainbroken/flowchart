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540\Downloads\Tool2.0\"/>
    </mc:Choice>
  </mc:AlternateContent>
  <xr:revisionPtr revIDLastSave="0" documentId="13_ncr:1_{8EA5CB86-99F9-497E-B68A-3936E39E8E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<sst xmlns="http://schemas.openxmlformats.org/spreadsheetml/2006/main" count="65" uniqueCount="48">
  <si>
    <t>未来技术学院实训教学耗材、教具申购表</t>
  </si>
  <si>
    <t>项目名称：</t>
  </si>
  <si>
    <t>序号</t>
  </si>
  <si>
    <t>耗材信息</t>
  </si>
  <si>
    <t>用途说明</t>
  </si>
  <si>
    <t>使用人</t>
  </si>
  <si>
    <t>备注</t>
  </si>
  <si>
    <t>名 称</t>
  </si>
  <si>
    <t>数量</t>
  </si>
  <si>
    <t>预算单价（元）</t>
  </si>
  <si>
    <t>单位</t>
  </si>
  <si>
    <t>品牌、规格、型号/主要技术参数</t>
  </si>
  <si>
    <t>预算总价（元）</t>
  </si>
  <si>
    <t>相关链接</t>
  </si>
  <si>
    <t>使用课程</t>
  </si>
  <si>
    <t>具体实训实验内容</t>
  </si>
  <si>
    <t>功率电感</t>
  </si>
  <si>
    <t>5</t>
  </si>
  <si>
    <t>3.57</t>
  </si>
  <si>
    <t>YSPI1365-470M</t>
  </si>
  <si>
    <t>1.05735</t>
  </si>
  <si>
    <t>SRG0650-470-M</t>
  </si>
  <si>
    <t>肖特基二极管</t>
  </si>
  <si>
    <t>10</t>
  </si>
  <si>
    <t>0.2553</t>
  </si>
  <si>
    <t>SS54F</t>
  </si>
  <si>
    <t>贴片型铝电解电容</t>
  </si>
  <si>
    <t>1.021535</t>
  </si>
  <si>
    <t>JVJ50V330M10x10</t>
  </si>
  <si>
    <t>0.354065</t>
  </si>
  <si>
    <t>JVJ25V220M6x8</t>
  </si>
  <si>
    <t>DC-DC电源芯片</t>
  </si>
  <si>
    <t>4.15</t>
  </si>
  <si>
    <t>XL4015E1</t>
  </si>
  <si>
    <t>合计</t>
  </si>
  <si>
    <t>申请人签字</t>
  </si>
  <si>
    <t>教学副院长意见</t>
  </si>
  <si>
    <t>实训副院长意见</t>
  </si>
  <si>
    <t>说明：
1、请严格在本学期规定时间内内以专业或课程类别为单位申报；
2、统一采购为主，自行采购为辅（购买定制品或需要老师本人与供货商多次沟通的情况，建议进行自行采购）；
3、表格填好后，申请人打印并签字，交于分管领导核实并签字；
4、请老师填写好课程名称及实训、实验内容，便于核实；
5、考虑实体店采购包含税费、人工费、邮寄费等等，建议预算上浮网店价的25%左右（具体比例须由老师确定），请各位老师认真核实、填写。</t>
  </si>
  <si>
    <t>综合设计3</t>
    <phoneticPr fontId="18" type="noConversion"/>
  </si>
  <si>
    <t>填报日期：      2026  年   7    月    5   日</t>
    <phoneticPr fontId="18" type="noConversion"/>
  </si>
  <si>
    <t>SO2607059602</t>
  </si>
  <si>
    <t>SO2607059603</t>
  </si>
  <si>
    <t>SO2607059604</t>
  </si>
  <si>
    <t>SO2607059605</t>
  </si>
  <si>
    <t>SO2607059606</t>
  </si>
  <si>
    <t>SO2607059607</t>
  </si>
  <si>
    <t>黄志雁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</si>
</sst>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1"/>
      <name val="黑体"/>
      <charset val="134"/>
    </font>
    <font>
      <b/>
      <sz val="10"/>
      <name val="黑体"/>
      <charset val="134"/>
    </font>
    <font>
      <sz val="10"/>
      <color rgb="FFFF0000"/>
      <name val="黑体"/>
      <charset val="134"/>
    </font>
    <font>
      <b/>
      <sz val="12"/>
      <name val="宋体"/>
      <charset val="134"/>
    </font>
    <font>
      <sz val="10"/>
      <name val="微软雅黑"/>
      <charset val="134"/>
    </font>
    <font>
      <sz val="10"/>
      <name val="Microsoft YaHei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0.5"/>
      <color indexed="8"/>
      <name val="宋体"/>
      <charset val="134"/>
    </font>
    <font>
      <u/>
      <sz val="10"/>
      <color indexed="12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color indexed="10"/>
      <name val="Calibri"/>
      <family val="2"/>
    </font>
    <font>
      <sz val="11"/>
      <name val="Calibri"/>
      <family val="2"/>
    </font>
    <font>
      <sz val="11"/>
      <name val="等线"/>
      <charset val="134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name val="宋体"/>
      <family val="3"/>
      <charset val="134"/>
      <scheme val="minor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7" fillId="0" borderId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4" fontId="7" fillId="0" borderId="8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3" fillId="0" borderId="6" xfId="1" applyFont="1" applyBorder="1">
      <alignment vertical="center"/>
    </xf>
    <xf numFmtId="0" fontId="13" fillId="0" borderId="6" xfId="1" applyFont="1" applyBorder="1" applyAlignment="1">
      <alignment horizontal="left" vertical="center"/>
    </xf>
    <xf numFmtId="0" fontId="10" fillId="0" borderId="6" xfId="0" applyFont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3" fillId="0" borderId="0" xfId="1" applyFont="1" applyAlignment="1">
      <alignment vertical="center" wrapText="1"/>
    </xf>
    <xf numFmtId="0" fontId="16" fillId="0" borderId="0" xfId="0" applyFont="1"/>
    <xf numFmtId="0" fontId="20" fillId="0" borderId="0" xfId="0" applyFont="1" applyAlignment="1">
      <alignment horizontal="right" vertical="center"/>
    </xf>
    <xf numFmtId="0" fontId="11" fillId="0" borderId="12" xfId="0" applyFont="1" applyBorder="1" applyAlignment="1">
      <alignment horizontal="left" vertical="center" wrapText="1"/>
    </xf>
    <xf numFmtId="0" fontId="0" fillId="0" borderId="13" xfId="0" applyBorder="1"/>
    <xf numFmtId="0" fontId="0" fillId="0" borderId="20" xfId="0" applyBorder="1"/>
    <xf numFmtId="0" fontId="10" fillId="0" borderId="7" xfId="0" applyFont="1" applyBorder="1" applyAlignment="1">
      <alignment horizontal="center" vertical="center" wrapText="1"/>
    </xf>
    <xf numFmtId="0" fontId="0" fillId="0" borderId="11" xfId="0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0" xfId="0" applyBorder="1"/>
    <xf numFmtId="0" fontId="4" fillId="0" borderId="3" xfId="0" applyFont="1" applyBorder="1" applyAlignment="1">
      <alignment horizontal="center" vertical="center" wrapText="1"/>
    </xf>
    <xf numFmtId="0" fontId="0" fillId="0" borderId="14" xfId="0" applyBorder="1"/>
    <xf numFmtId="0" fontId="3" fillId="0" borderId="1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16" xfId="0" applyBorder="1"/>
    <xf numFmtId="0" fontId="4" fillId="0" borderId="2" xfId="0" applyFont="1" applyBorder="1" applyAlignment="1">
      <alignment horizontal="center" vertical="center" wrapText="1"/>
    </xf>
    <xf numFmtId="0" fontId="0" fillId="0" borderId="5" xfId="0" applyBorder="1"/>
    <xf numFmtId="0" fontId="4" fillId="0" borderId="15" xfId="0" applyFont="1" applyBorder="1" applyAlignment="1">
      <alignment horizontal="center" vertical="center"/>
    </xf>
    <xf numFmtId="0" fontId="0" fillId="0" borderId="17" xfId="0" applyBorder="1"/>
    <xf numFmtId="0" fontId="10" fillId="0" borderId="19" xfId="0" applyFont="1" applyBorder="1" applyAlignment="1">
      <alignment horizontal="center" vertical="center" wrapText="1"/>
    </xf>
    <xf numFmtId="0" fontId="0" fillId="0" borderId="19" xfId="0" applyBorder="1"/>
    <xf numFmtId="0" fontId="17" fillId="0" borderId="0" xfId="1">
      <alignment vertical="center"/>
    </xf>
    <xf numFmtId="0" fontId="21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mber.szlcsc.com/member/order/details.html?orderCodeEncry=60DC2C3BC8130100F9F04A0D494D6EFA3682DB2904604B3A&amp;spm=sc.pay.inf.co1___sc.odc.fto.sub&amp;lcsc_vid=RFRaUAYARgReVAAHTlBeU1QFElVdVAcFEQNZVwdQFlYxVlNeRFNbV1JVQ1FfUDtW" TargetMode="External"/><Relationship Id="rId1" Type="http://schemas.openxmlformats.org/officeDocument/2006/relationships/hyperlink" Target="https://member.szlcsc.com/member/order/details.html?orderCodeEncry=60DC2C3BC8130100F9F04A0D494D6EFA3682DB2904604B3A&amp;spm=sc.pay.inf.co1___sc.odc.fto.sub&amp;lcsc_vid=RFRaUAYARgReVAAHTlBeU1QFElVdVAcFEQNZVwdQFlYxVlNeRFNbV1JVQ1FfUD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32"/>
  <sheetViews>
    <sheetView tabSelected="1" topLeftCell="A2" zoomScale="115" zoomScaleNormal="115" workbookViewId="0">
      <selection activeCell="K13" sqref="K13"/>
    </sheetView>
  </sheetViews>
  <sheetFormatPr defaultColWidth="8.6640625" defaultRowHeight="14.4"/>
  <cols>
    <col min="1" max="1" width="1.33203125" style="1" customWidth="1"/>
    <col min="2" max="2" width="3.44140625" style="1" customWidth="1"/>
    <col min="3" max="3" width="23.109375" style="1" customWidth="1"/>
    <col min="4" max="4" width="6" style="1" customWidth="1"/>
    <col min="5" max="5" width="9.109375" style="1" customWidth="1"/>
    <col min="6" max="6" width="5.77734375" style="1" customWidth="1"/>
    <col min="7" max="7" width="15.77734375" style="1" customWidth="1"/>
    <col min="8" max="8" width="13.33203125" style="1" customWidth="1"/>
    <col min="9" max="9" width="30.88671875" style="1" customWidth="1"/>
    <col min="10" max="10" width="13.44140625" style="1" customWidth="1"/>
    <col min="11" max="11" width="13" style="1" customWidth="1"/>
    <col min="12" max="12" width="7.33203125" style="1" customWidth="1"/>
    <col min="13" max="13" width="6.33203125" style="1" customWidth="1"/>
    <col min="14" max="14" width="8.6640625" style="1" customWidth="1"/>
    <col min="15" max="16384" width="8.6640625" style="1"/>
  </cols>
  <sheetData>
    <row r="1" spans="2:34" ht="24" customHeight="1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W1" s="20"/>
      <c r="X1" s="20"/>
      <c r="Y1" s="21"/>
      <c r="Z1" s="20"/>
      <c r="AA1" s="20"/>
      <c r="AB1" s="20"/>
      <c r="AC1" s="21"/>
      <c r="AD1" s="20"/>
      <c r="AF1" s="21"/>
      <c r="AG1" s="23"/>
      <c r="AH1" s="21"/>
    </row>
    <row r="2" spans="2:34" ht="25.5" customHeight="1">
      <c r="B2" s="37" t="s">
        <v>1</v>
      </c>
      <c r="C2" s="33"/>
      <c r="D2" s="32" t="s">
        <v>39</v>
      </c>
      <c r="E2" s="33"/>
      <c r="F2" s="33"/>
      <c r="G2" s="33"/>
      <c r="L2" s="13"/>
      <c r="M2" s="24" t="s">
        <v>40</v>
      </c>
      <c r="AF2" s="22"/>
    </row>
    <row r="3" spans="2:34" ht="17.25" customHeight="1">
      <c r="B3" s="41" t="s">
        <v>2</v>
      </c>
      <c r="C3" s="35" t="s">
        <v>3</v>
      </c>
      <c r="D3" s="39"/>
      <c r="E3" s="39"/>
      <c r="F3" s="39"/>
      <c r="G3" s="39"/>
      <c r="H3" s="39"/>
      <c r="I3" s="36"/>
      <c r="J3" s="35" t="s">
        <v>4</v>
      </c>
      <c r="K3" s="36"/>
      <c r="L3" s="35" t="s">
        <v>5</v>
      </c>
      <c r="M3" s="43" t="s">
        <v>6</v>
      </c>
    </row>
    <row r="4" spans="2:34" ht="59.25" customHeight="1">
      <c r="B4" s="42"/>
      <c r="C4" s="3" t="s">
        <v>7</v>
      </c>
      <c r="D4" s="4" t="s">
        <v>8</v>
      </c>
      <c r="E4" s="4" t="s">
        <v>9</v>
      </c>
      <c r="F4" s="3" t="s">
        <v>10</v>
      </c>
      <c r="G4" s="4" t="s">
        <v>11</v>
      </c>
      <c r="H4" s="4" t="s">
        <v>12</v>
      </c>
      <c r="I4" s="3" t="s">
        <v>13</v>
      </c>
      <c r="J4" s="4" t="s">
        <v>14</v>
      </c>
      <c r="K4" s="4" t="s">
        <v>15</v>
      </c>
      <c r="L4" s="40"/>
      <c r="M4" s="44"/>
    </row>
    <row r="5" spans="2:34" ht="15.6" customHeight="1">
      <c r="B5" s="5">
        <v>1</v>
      </c>
      <c r="C5" s="6" t="s">
        <v>16</v>
      </c>
      <c r="D5" s="6" t="s">
        <v>17</v>
      </c>
      <c r="E5" s="6" t="s">
        <v>18</v>
      </c>
      <c r="F5" s="7"/>
      <c r="G5" s="6" t="s">
        <v>19</v>
      </c>
      <c r="H5" s="8">
        <f t="shared" ref="H5:H29" si="0">SUM(D5*E5)</f>
        <v>17.849999999999998</v>
      </c>
      <c r="I5" s="47" t="s">
        <v>41</v>
      </c>
      <c r="J5" s="48" t="s">
        <v>39</v>
      </c>
      <c r="K5" s="14"/>
      <c r="L5" s="48" t="s">
        <v>47</v>
      </c>
      <c r="M5" s="15"/>
    </row>
    <row r="6" spans="2:34" ht="15.6" customHeight="1">
      <c r="B6" s="5">
        <v>2</v>
      </c>
      <c r="C6" s="6" t="s">
        <v>16</v>
      </c>
      <c r="D6" s="6" t="s">
        <v>17</v>
      </c>
      <c r="E6" s="6" t="s">
        <v>20</v>
      </c>
      <c r="F6" s="7"/>
      <c r="G6" s="6" t="s">
        <v>21</v>
      </c>
      <c r="H6" s="8">
        <f t="shared" si="0"/>
        <v>5.2867499999999996</v>
      </c>
      <c r="I6" s="47" t="s">
        <v>42</v>
      </c>
      <c r="J6" s="48" t="s">
        <v>39</v>
      </c>
      <c r="K6" s="14"/>
      <c r="L6" s="48" t="s">
        <v>47</v>
      </c>
      <c r="M6" s="15"/>
    </row>
    <row r="7" spans="2:34" ht="15.6" customHeight="1">
      <c r="B7" s="5">
        <v>3</v>
      </c>
      <c r="C7" s="6" t="s">
        <v>22</v>
      </c>
      <c r="D7" s="6" t="s">
        <v>23</v>
      </c>
      <c r="E7" s="6" t="s">
        <v>24</v>
      </c>
      <c r="F7" s="7"/>
      <c r="G7" s="6" t="s">
        <v>25</v>
      </c>
      <c r="H7" s="8">
        <f t="shared" si="0"/>
        <v>2.5530000000000004</v>
      </c>
      <c r="I7" s="47" t="s">
        <v>43</v>
      </c>
      <c r="J7" s="48" t="s">
        <v>39</v>
      </c>
      <c r="K7" s="14"/>
      <c r="L7" s="48" t="s">
        <v>47</v>
      </c>
      <c r="M7" s="15"/>
    </row>
    <row r="8" spans="2:34" ht="15.6" customHeight="1">
      <c r="B8" s="5">
        <v>4</v>
      </c>
      <c r="C8" s="6" t="s">
        <v>26</v>
      </c>
      <c r="D8" s="6" t="s">
        <v>17</v>
      </c>
      <c r="E8" s="6" t="s">
        <v>27</v>
      </c>
      <c r="F8" s="7"/>
      <c r="G8" s="6" t="s">
        <v>28</v>
      </c>
      <c r="H8" s="8">
        <f t="shared" si="0"/>
        <v>5.1076750000000004</v>
      </c>
      <c r="I8" s="47" t="s">
        <v>44</v>
      </c>
      <c r="J8" s="48" t="s">
        <v>39</v>
      </c>
      <c r="K8" s="14"/>
      <c r="L8" s="48" t="s">
        <v>47</v>
      </c>
      <c r="M8" s="15"/>
    </row>
    <row r="9" spans="2:34" ht="15.6" customHeight="1">
      <c r="B9" s="5">
        <v>5</v>
      </c>
      <c r="C9" s="6" t="s">
        <v>26</v>
      </c>
      <c r="D9" s="6" t="s">
        <v>23</v>
      </c>
      <c r="E9" s="6" t="s">
        <v>29</v>
      </c>
      <c r="F9" s="7"/>
      <c r="G9" s="6" t="s">
        <v>30</v>
      </c>
      <c r="H9" s="8">
        <f t="shared" si="0"/>
        <v>3.5406500000000003</v>
      </c>
      <c r="I9" s="47" t="s">
        <v>45</v>
      </c>
      <c r="J9" s="48" t="s">
        <v>39</v>
      </c>
      <c r="K9" s="14"/>
      <c r="L9" s="48" t="s">
        <v>47</v>
      </c>
      <c r="M9" s="15"/>
    </row>
    <row r="10" spans="2:34" ht="15.6" customHeight="1">
      <c r="B10" s="5">
        <v>6</v>
      </c>
      <c r="C10" s="6" t="s">
        <v>31</v>
      </c>
      <c r="D10" s="6" t="s">
        <v>17</v>
      </c>
      <c r="E10" s="6" t="s">
        <v>32</v>
      </c>
      <c r="F10" s="7"/>
      <c r="G10" s="6" t="s">
        <v>33</v>
      </c>
      <c r="H10" s="8">
        <f t="shared" si="0"/>
        <v>20.75</v>
      </c>
      <c r="I10" s="47" t="s">
        <v>46</v>
      </c>
      <c r="J10" s="48" t="s">
        <v>39</v>
      </c>
      <c r="K10" s="14"/>
      <c r="L10" s="48" t="s">
        <v>47</v>
      </c>
      <c r="M10" s="15"/>
    </row>
    <row r="11" spans="2:34" ht="15.6" customHeight="1">
      <c r="B11" s="5">
        <v>7</v>
      </c>
      <c r="C11" s="6"/>
      <c r="D11" s="6"/>
      <c r="E11" s="6"/>
      <c r="F11" s="7"/>
      <c r="G11" s="6"/>
      <c r="H11" s="8">
        <f t="shared" si="0"/>
        <v>0</v>
      </c>
      <c r="I11" s="16"/>
      <c r="J11" s="14"/>
      <c r="K11" s="14"/>
      <c r="L11" s="14"/>
      <c r="M11" s="15"/>
    </row>
    <row r="12" spans="2:34" ht="15.6" customHeight="1">
      <c r="B12" s="5">
        <v>8</v>
      </c>
      <c r="C12" s="6"/>
      <c r="D12" s="6"/>
      <c r="E12" s="6"/>
      <c r="F12" s="7"/>
      <c r="G12" s="6"/>
      <c r="H12" s="8">
        <f t="shared" si="0"/>
        <v>0</v>
      </c>
      <c r="I12" s="16"/>
      <c r="J12" s="14"/>
      <c r="K12" s="14"/>
      <c r="L12" s="14"/>
      <c r="M12" s="15"/>
    </row>
    <row r="13" spans="2:34" ht="15.6" customHeight="1">
      <c r="B13" s="5">
        <v>9</v>
      </c>
      <c r="C13" s="6"/>
      <c r="D13" s="6"/>
      <c r="E13" s="6"/>
      <c r="F13" s="7"/>
      <c r="G13" s="6"/>
      <c r="H13" s="8">
        <f t="shared" si="0"/>
        <v>0</v>
      </c>
      <c r="I13" s="16"/>
      <c r="J13" s="14"/>
      <c r="K13" s="14"/>
      <c r="L13" s="14"/>
      <c r="M13" s="15"/>
    </row>
    <row r="14" spans="2:34" ht="15.6" customHeight="1">
      <c r="B14" s="5">
        <v>10</v>
      </c>
      <c r="C14" s="6"/>
      <c r="D14" s="6"/>
      <c r="E14" s="6"/>
      <c r="F14" s="7"/>
      <c r="G14" s="6"/>
      <c r="H14" s="8">
        <f t="shared" si="0"/>
        <v>0</v>
      </c>
      <c r="I14" s="16"/>
      <c r="J14" s="14"/>
      <c r="K14" s="14"/>
      <c r="L14" s="14"/>
      <c r="M14" s="15"/>
    </row>
    <row r="15" spans="2:34" ht="15.6" customHeight="1">
      <c r="B15" s="5">
        <v>11</v>
      </c>
      <c r="C15" s="6"/>
      <c r="D15" s="6"/>
      <c r="E15" s="6"/>
      <c r="F15" s="7"/>
      <c r="G15" s="6"/>
      <c r="H15" s="8">
        <f t="shared" si="0"/>
        <v>0</v>
      </c>
      <c r="I15" s="16"/>
      <c r="J15" s="14"/>
      <c r="K15" s="14"/>
      <c r="L15" s="14"/>
      <c r="M15" s="15"/>
    </row>
    <row r="16" spans="2:34" ht="15.6" customHeight="1">
      <c r="B16" s="5">
        <v>12</v>
      </c>
      <c r="C16" s="6"/>
      <c r="D16" s="6"/>
      <c r="E16" s="6"/>
      <c r="F16" s="7"/>
      <c r="G16" s="6"/>
      <c r="H16" s="8">
        <f t="shared" si="0"/>
        <v>0</v>
      </c>
      <c r="I16" s="16"/>
      <c r="J16" s="14"/>
      <c r="K16" s="14"/>
      <c r="L16" s="14"/>
      <c r="M16" s="15"/>
    </row>
    <row r="17" spans="2:13" ht="15" customHeight="1">
      <c r="B17" s="5">
        <v>13</v>
      </c>
      <c r="C17" s="6"/>
      <c r="D17" s="9"/>
      <c r="E17" s="9"/>
      <c r="F17" s="7"/>
      <c r="G17" s="10"/>
      <c r="H17" s="8">
        <f t="shared" si="0"/>
        <v>0</v>
      </c>
      <c r="I17" s="16"/>
      <c r="J17" s="14"/>
      <c r="K17" s="14"/>
      <c r="L17" s="14"/>
      <c r="M17" s="15"/>
    </row>
    <row r="18" spans="2:13" ht="15" customHeight="1">
      <c r="B18" s="5">
        <v>14</v>
      </c>
      <c r="C18" s="6"/>
      <c r="D18" s="9"/>
      <c r="E18" s="9"/>
      <c r="F18" s="7"/>
      <c r="G18" s="10"/>
      <c r="H18" s="8">
        <f t="shared" si="0"/>
        <v>0</v>
      </c>
      <c r="I18" s="16"/>
      <c r="J18" s="14"/>
      <c r="K18" s="14"/>
      <c r="L18" s="14"/>
      <c r="M18" s="15"/>
    </row>
    <row r="19" spans="2:13" ht="15" customHeight="1">
      <c r="B19" s="5">
        <v>15</v>
      </c>
      <c r="C19" s="6"/>
      <c r="D19" s="11"/>
      <c r="E19" s="12"/>
      <c r="F19" s="11"/>
      <c r="G19" s="11"/>
      <c r="H19" s="8">
        <f t="shared" si="0"/>
        <v>0</v>
      </c>
      <c r="I19" s="17"/>
      <c r="J19" s="14"/>
      <c r="K19" s="14"/>
      <c r="L19" s="14"/>
      <c r="M19" s="15"/>
    </row>
    <row r="20" spans="2:13" ht="15" customHeight="1">
      <c r="B20" s="5">
        <v>16</v>
      </c>
      <c r="C20" s="6"/>
      <c r="D20" s="11"/>
      <c r="E20" s="12"/>
      <c r="F20" s="11"/>
      <c r="G20" s="11"/>
      <c r="H20" s="8">
        <f t="shared" si="0"/>
        <v>0</v>
      </c>
      <c r="I20" s="18"/>
      <c r="J20" s="14"/>
      <c r="K20" s="14"/>
      <c r="L20" s="14"/>
      <c r="M20" s="15"/>
    </row>
    <row r="21" spans="2:13" ht="22.5" customHeight="1">
      <c r="B21" s="5">
        <v>17</v>
      </c>
      <c r="C21" s="6"/>
      <c r="D21" s="11"/>
      <c r="E21" s="12"/>
      <c r="F21" s="11"/>
      <c r="G21" s="11"/>
      <c r="H21" s="8">
        <f t="shared" si="0"/>
        <v>0</v>
      </c>
      <c r="I21" s="18"/>
      <c r="J21" s="14"/>
      <c r="K21" s="14"/>
      <c r="L21" s="14"/>
      <c r="M21" s="15"/>
    </row>
    <row r="22" spans="2:13" ht="22.5" customHeight="1">
      <c r="B22" s="5">
        <v>18</v>
      </c>
      <c r="C22" s="6"/>
      <c r="D22" s="11"/>
      <c r="E22" s="12"/>
      <c r="F22" s="11"/>
      <c r="G22" s="11"/>
      <c r="H22" s="8">
        <f t="shared" si="0"/>
        <v>0</v>
      </c>
      <c r="I22" s="18"/>
      <c r="J22" s="14"/>
      <c r="K22" s="14"/>
      <c r="L22" s="14"/>
      <c r="M22" s="15"/>
    </row>
    <row r="23" spans="2:13" ht="22.5" customHeight="1">
      <c r="B23" s="5">
        <v>19</v>
      </c>
      <c r="C23" s="6"/>
      <c r="D23" s="11"/>
      <c r="E23" s="12"/>
      <c r="F23" s="11"/>
      <c r="G23" s="11"/>
      <c r="H23" s="8">
        <f t="shared" si="0"/>
        <v>0</v>
      </c>
      <c r="I23" s="18"/>
      <c r="J23" s="14"/>
      <c r="K23" s="14"/>
      <c r="L23" s="14"/>
      <c r="M23" s="15"/>
    </row>
    <row r="24" spans="2:13" ht="22.5" customHeight="1">
      <c r="B24" s="5">
        <v>20</v>
      </c>
      <c r="C24" s="6"/>
      <c r="D24" s="11"/>
      <c r="E24" s="12"/>
      <c r="F24" s="11"/>
      <c r="G24" s="11"/>
      <c r="H24" s="8">
        <f t="shared" si="0"/>
        <v>0</v>
      </c>
      <c r="I24" s="18"/>
      <c r="J24" s="14"/>
      <c r="K24" s="14"/>
      <c r="L24" s="14"/>
      <c r="M24" s="15"/>
    </row>
    <row r="25" spans="2:13" ht="22.5" customHeight="1">
      <c r="B25" s="5">
        <v>21</v>
      </c>
      <c r="C25" s="6"/>
      <c r="D25" s="11"/>
      <c r="E25" s="12"/>
      <c r="F25" s="11"/>
      <c r="G25" s="11"/>
      <c r="H25" s="8">
        <f t="shared" si="0"/>
        <v>0</v>
      </c>
      <c r="I25" s="18"/>
      <c r="J25" s="14"/>
      <c r="K25" s="14"/>
      <c r="L25" s="14"/>
      <c r="M25" s="15"/>
    </row>
    <row r="26" spans="2:13" ht="22.5" customHeight="1">
      <c r="B26" s="5">
        <v>22</v>
      </c>
      <c r="C26" s="6"/>
      <c r="D26" s="11"/>
      <c r="E26" s="12"/>
      <c r="F26" s="11"/>
      <c r="G26" s="11"/>
      <c r="H26" s="8">
        <f t="shared" si="0"/>
        <v>0</v>
      </c>
      <c r="I26" s="18"/>
      <c r="J26" s="14"/>
      <c r="K26" s="14"/>
      <c r="L26" s="14"/>
      <c r="M26" s="15"/>
    </row>
    <row r="27" spans="2:13" ht="22.5" customHeight="1">
      <c r="B27" s="5">
        <v>23</v>
      </c>
      <c r="C27" s="6"/>
      <c r="D27" s="11"/>
      <c r="E27" s="12"/>
      <c r="F27" s="11"/>
      <c r="G27" s="11"/>
      <c r="H27" s="8">
        <f t="shared" si="0"/>
        <v>0</v>
      </c>
      <c r="I27" s="18"/>
      <c r="J27" s="14"/>
      <c r="K27" s="14"/>
      <c r="L27" s="14"/>
      <c r="M27" s="15"/>
    </row>
    <row r="28" spans="2:13" ht="22.5" customHeight="1">
      <c r="B28" s="5">
        <v>24</v>
      </c>
      <c r="C28" s="6"/>
      <c r="D28" s="11"/>
      <c r="E28" s="12"/>
      <c r="F28" s="11"/>
      <c r="G28" s="11"/>
      <c r="H28" s="8">
        <f t="shared" si="0"/>
        <v>0</v>
      </c>
      <c r="I28" s="18"/>
      <c r="J28" s="14"/>
      <c r="K28" s="14"/>
      <c r="L28" s="14"/>
      <c r="M28" s="15"/>
    </row>
    <row r="29" spans="2:13" ht="22.5" customHeight="1">
      <c r="B29" s="5">
        <v>25</v>
      </c>
      <c r="C29" s="6"/>
      <c r="D29" s="11"/>
      <c r="E29" s="12"/>
      <c r="F29" s="11"/>
      <c r="G29" s="11"/>
      <c r="H29" s="8">
        <f t="shared" si="0"/>
        <v>0</v>
      </c>
      <c r="I29" s="18"/>
      <c r="J29" s="14"/>
      <c r="K29" s="14"/>
      <c r="L29" s="14"/>
      <c r="M29" s="15"/>
    </row>
    <row r="30" spans="2:13" ht="22.5" customHeight="1">
      <c r="B30" s="28" t="s">
        <v>34</v>
      </c>
      <c r="C30" s="34"/>
      <c r="D30" s="34"/>
      <c r="E30" s="34"/>
      <c r="F30" s="34"/>
      <c r="G30" s="29"/>
      <c r="H30" s="12">
        <f>SUM(H5:H18)</f>
        <v>55.088075000000003</v>
      </c>
      <c r="I30" s="38"/>
      <c r="J30" s="34"/>
      <c r="K30" s="34"/>
      <c r="L30" s="34"/>
      <c r="M30" s="29"/>
    </row>
    <row r="31" spans="2:13" s="2" customFormat="1" ht="83.25" customHeight="1">
      <c r="B31" s="28" t="s">
        <v>35</v>
      </c>
      <c r="C31" s="29"/>
      <c r="D31" s="38"/>
      <c r="E31" s="34"/>
      <c r="F31" s="34"/>
      <c r="G31" s="29"/>
      <c r="H31" s="12" t="s">
        <v>36</v>
      </c>
      <c r="I31" s="19"/>
      <c r="J31" s="12" t="s">
        <v>37</v>
      </c>
      <c r="K31" s="45"/>
      <c r="L31" s="34"/>
      <c r="M31" s="46"/>
    </row>
    <row r="32" spans="2:13" ht="102.75" customHeight="1">
      <c r="B32" s="25" t="s">
        <v>38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/>
    </row>
  </sheetData>
  <mergeCells count="14">
    <mergeCell ref="B32:M32"/>
    <mergeCell ref="B31:C31"/>
    <mergeCell ref="B1:M1"/>
    <mergeCell ref="D2:G2"/>
    <mergeCell ref="B30:G30"/>
    <mergeCell ref="J3:K3"/>
    <mergeCell ref="B2:C2"/>
    <mergeCell ref="I30:M30"/>
    <mergeCell ref="D31:G31"/>
    <mergeCell ref="C3:I3"/>
    <mergeCell ref="L3:L4"/>
    <mergeCell ref="B3:B4"/>
    <mergeCell ref="M3:M4"/>
    <mergeCell ref="K31:M31"/>
  </mergeCells>
  <phoneticPr fontId="18" type="noConversion"/>
  <hyperlinks>
    <hyperlink ref="I5" r:id="rId1" display="https://member.szlcsc.com/member/order/details.html?orderCodeEncry=60DC2C3BC8130100F9F04A0D494D6EFA3682DB2904604B3A&amp;spm=sc.pay.inf.co1___sc.odc.fto.sub&amp;lcsc_vid=RFRaUAYARgReVAAHTlBeU1QFElVdVAcFEQNZVwdQFlYxVlNeRFNbV1JVQ1FfUDtW" xr:uid="{EAC4A3EE-92D2-42D7-BACA-2EBAF4B71134}"/>
    <hyperlink ref="I6:I10" r:id="rId2" display="https://member.szlcsc.com/member/order/details.html?orderCodeEncry=60DC2C3BC8130100F9F04A0D494D6EFA3682DB2904604B3A&amp;spm=sc.pay.inf.co1___sc.odc.fto.sub&amp;lcsc_vid=RFRaUAYARgReVAAHTlBeU1QFElVdVAcFEQNZVwdQFlYxVlNeRFNbV1JVQ1FfUDtW" xr:uid="{3FEAC14E-B3AC-4C0E-B62E-0DB69BE64C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 Broken</cp:lastModifiedBy>
  <dcterms:created xsi:type="dcterms:W3CDTF">2024-10-02T12:56:00Z</dcterms:created>
  <dcterms:modified xsi:type="dcterms:W3CDTF">2026-07-05T11:45:11Z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9BF6BD898D82413F91FE312571FA6579_12</vt:lpwstr>
  </property>
  <property fmtid="{D5CDD505-2E9C-101B-9397-08002B2CF9AE}" pid="3" name="KSOProductBuildVer">
    <vt:lpwstr>2052-12.1.0.18276</vt:lpwstr>
  </property>
</Properties>
</file>